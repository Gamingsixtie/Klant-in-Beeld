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66925"/>
  <mc:AlternateContent xmlns:mc="http://schemas.openxmlformats.org/markup-compatibility/2006">
    <mc:Choice Requires="x15">
      <x15ac:absPath xmlns:x15ac="http://schemas.microsoft.com/office/spreadsheetml/2010/11/ac" url="C:\Users\NielsvanLoon\Dropbox\PGM - Handboek programmamanagement\05. Templates\04. Diverse formats in xls\"/>
    </mc:Choice>
  </mc:AlternateContent>
  <xr:revisionPtr revIDLastSave="0" documentId="13_ncr:1_{D99B4AF7-18F6-44E1-BB82-1BC31C4D9F1A}" xr6:coauthVersionLast="47" xr6:coauthVersionMax="47" xr10:uidLastSave="{00000000-0000-0000-0000-000000000000}"/>
  <bookViews>
    <workbookView xWindow="-120" yWindow="-120" windowWidth="27870" windowHeight="16440" xr2:uid="{00000000-000D-0000-FFFF-FFFF00000000}"/>
  </bookViews>
  <sheets>
    <sheet name="Issues" sheetId="1" r:id="rId1"/>
    <sheet name="Afbeelding" sheetId="4" r:id="rId2"/>
  </sheets>
  <definedNames>
    <definedName name="_xlnm._FilterDatabase" localSheetId="0" hidden="1">Issues!$A$7:$G$30</definedName>
    <definedName name="Initial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 r="G12" i="1"/>
  <c r="G10" i="1"/>
  <c r="G9" i="1"/>
  <c r="B9" i="4" l="1"/>
  <c r="B8" i="4"/>
  <c r="B7" i="4"/>
  <c r="K14" i="1"/>
  <c r="K13" i="1"/>
  <c r="J12" i="1"/>
  <c r="K11" i="1"/>
  <c r="J10" i="1"/>
  <c r="F11" i="4"/>
  <c r="J14" i="1" l="1"/>
  <c r="J13" i="1"/>
  <c r="K9" i="1"/>
  <c r="K10" i="1"/>
  <c r="J9" i="1"/>
  <c r="G14" i="4"/>
  <c r="G17" i="4" s="1"/>
  <c r="K12" i="1"/>
  <c r="G15" i="4"/>
  <c r="J11" i="1"/>
  <c r="F7" i="4"/>
  <c r="F8" i="4" s="1"/>
  <c r="F9" i="4" s="1"/>
  <c r="F10" i="4" s="1"/>
  <c r="B10" i="4"/>
  <c r="C9" i="4" s="1"/>
  <c r="C7" i="4" l="1"/>
  <c r="C8" i="4"/>
  <c r="G16" i="4"/>
  <c r="C10" i="4" l="1"/>
  <c r="F12" i="4"/>
  <c r="G8" i="4" l="1"/>
  <c r="G11" i="4"/>
  <c r="G7" i="4"/>
  <c r="G9" i="4"/>
  <c r="G10" i="4"/>
  <c r="G12" i="4" l="1"/>
  <c r="A9" i="1" l="1"/>
  <c r="A10" i="1" s="1"/>
  <c r="A11" i="1" s="1"/>
  <c r="A12" i="1" s="1"/>
  <c r="A13" i="1" s="1"/>
  <c r="A14" i="1" s="1"/>
  <c r="A15" i="1" s="1"/>
  <c r="A16" i="1" s="1"/>
  <c r="A17" i="1" s="1"/>
  <c r="A18" i="1" l="1"/>
  <c r="A19" i="1" s="1"/>
  <c r="A20" i="1" s="1"/>
  <c r="A21" i="1" s="1"/>
  <c r="A22" i="1" s="1"/>
  <c r="A23" i="1" s="1"/>
  <c r="A24" i="1" s="1"/>
  <c r="A25" i="1" s="1"/>
  <c r="A26" i="1" s="1"/>
  <c r="A27" i="1" s="1"/>
  <c r="A28" i="1" s="1"/>
  <c r="A29" i="1" s="1"/>
  <c r="A3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Niels van Loon</author>
    <author>Loon van, Niels N (NSR)</author>
  </authors>
  <commentList>
    <comment ref="C7" authorId="0" shapeId="0" xr:uid="{00000000-0006-0000-0100-000001000000}">
      <text>
        <r>
          <rPr>
            <b/>
            <sz val="9"/>
            <color indexed="81"/>
            <rFont val="Tahoma"/>
            <family val="2"/>
          </rPr>
          <t xml:space="preserve">bij omschrijving oorzaak en gevolg uit elkaar houden
</t>
        </r>
      </text>
    </comment>
    <comment ref="F7" authorId="0" shapeId="0" xr:uid="{00000000-0006-0000-0100-000002000000}">
      <text>
        <r>
          <rPr>
            <b/>
            <sz val="9"/>
            <color rgb="FF000000"/>
            <rFont val="Tahoma"/>
            <family val="2"/>
          </rPr>
          <t>Open, loopt, gereed</t>
        </r>
      </text>
    </comment>
    <comment ref="G7" authorId="1" shapeId="0" xr:uid="{00000000-0006-0000-0100-000003000000}">
      <text>
        <r>
          <rPr>
            <b/>
            <sz val="9"/>
            <color rgb="FF000000"/>
            <rFont val="Tahoma"/>
            <family val="2"/>
          </rPr>
          <t>Aantal dagen dat het issue open staat</t>
        </r>
      </text>
    </comment>
  </commentList>
</comments>
</file>

<file path=xl/sharedStrings.xml><?xml version="1.0" encoding="utf-8"?>
<sst xmlns="http://schemas.openxmlformats.org/spreadsheetml/2006/main" count="50" uniqueCount="35">
  <si>
    <t>№</t>
  </si>
  <si>
    <t>Datum</t>
  </si>
  <si>
    <t>Omschrijving issue</t>
  </si>
  <si>
    <t>Maatregelen</t>
  </si>
  <si>
    <t>Eigenaar</t>
  </si>
  <si>
    <t>Status</t>
  </si>
  <si>
    <t>Gereed</t>
  </si>
  <si>
    <t>Loopt</t>
  </si>
  <si>
    <t>Open</t>
  </si>
  <si>
    <t>Aantal</t>
  </si>
  <si>
    <t>Issues</t>
  </si>
  <si>
    <t>Vanwege oorzaak xyz, treedt nu gevolg abc op en dat is onwenselijk want</t>
  </si>
  <si>
    <t>1. maatregel…
2. maatregel…</t>
  </si>
  <si>
    <t>naam van een persoon</t>
  </si>
  <si>
    <t xml:space="preserve">Afbeeldingen </t>
  </si>
  <si>
    <t>Afbeeldingen op basis van de issuelijst. Als de gegevens op het vorige tabblad worden gewijzigd, wijzigen de afbeeldingen automatisch mee.</t>
  </si>
  <si>
    <t>Aantallen</t>
  </si>
  <si>
    <t>Totaal</t>
  </si>
  <si>
    <t>&lt; 10</t>
  </si>
  <si>
    <t>&lt; 20</t>
  </si>
  <si>
    <t>&lt; 40</t>
  </si>
  <si>
    <t>&lt; 80</t>
  </si>
  <si>
    <t>&gt; 80</t>
  </si>
  <si>
    <t>Dagen niet gereed</t>
  </si>
  <si>
    <t>Weken</t>
  </si>
  <si>
    <t>Maanden</t>
  </si>
  <si>
    <t>Gemiddelde dagen</t>
  </si>
  <si>
    <t>Gemiddelde weken</t>
  </si>
  <si>
    <t>Gemiddelde maanden</t>
  </si>
  <si>
    <t>Door twee grafieken naast elkaar te plaatsen (deze rapportageperiode, vorige rapportageperiode) is in één oogopslag te zien, hoe het wegwerken van issues</t>
  </si>
  <si>
    <t>(datum laatste bewerking)</t>
  </si>
  <si>
    <t>Vul het issuelog in. Ben scherp op oorzaak en gevolg. Per issue kunnen verschillende maatregelen genomen worden (met diverse actiehouders). Een issue kent één eigenaar die voor beslechting van het issue zorgt.</t>
  </si>
  <si>
    <t>Versie 20231215</t>
  </si>
  <si>
    <t>&lt;…&gt;</t>
  </si>
  <si>
    <t>zich ontwikkelt. Als de periode van dagen te kort is voor de aard van het programma, kan ook voor weken worden gekozen.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</si>
</sst>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3]d/mmm/yy;@"/>
  </numFmts>
  <fonts count="11" x14ac:knownFonts="1">
    <font>
      <sz val="11"/>
      <color theme="1"/>
      <name val="Calibri"/>
      <family val="2"/>
      <scheme val="minor"/>
    </font>
    <font>
      <b/>
      <sz val="14"/>
      <color theme="1"/>
      <name val="Calibri"/>
      <family val="2"/>
      <scheme val="minor"/>
    </font>
    <font>
      <b/>
      <sz val="10"/>
      <name val="Calibri"/>
      <family val="2"/>
      <scheme val="minor"/>
    </font>
    <font>
      <b/>
      <sz val="9"/>
      <color indexed="81"/>
      <name val="Tahoma"/>
      <family val="2"/>
    </font>
    <font>
      <sz val="10"/>
      <color theme="1"/>
      <name val="Calibri"/>
      <family val="2"/>
      <scheme val="minor"/>
    </font>
    <font>
      <sz val="10"/>
      <name val="Arial"/>
      <family val="2"/>
    </font>
    <font>
      <b/>
      <sz val="10"/>
      <color theme="1"/>
      <name val="Calibri"/>
      <family val="2"/>
      <scheme val="minor"/>
    </font>
    <font>
      <b/>
      <sz val="11"/>
      <color theme="1"/>
      <name val="Calibri"/>
      <family val="2"/>
      <scheme val="minor"/>
    </font>
    <font>
      <i/>
      <sz val="10"/>
      <color theme="1"/>
      <name val="Calibri"/>
      <family val="2"/>
      <scheme val="minor"/>
    </font>
    <font>
      <i/>
      <sz val="11"/>
      <color theme="1"/>
      <name val="Calibri"/>
      <family val="2"/>
      <scheme val="minor"/>
    </font>
    <font>
      <b/>
      <sz val="9"/>
      <color rgb="FF000000"/>
      <name val="Tahoma"/>
      <family val="2"/>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dotted">
        <color indexed="64"/>
      </left>
      <right style="dotted">
        <color indexed="64"/>
      </right>
      <top/>
      <bottom/>
      <diagonal/>
    </border>
    <border>
      <left/>
      <right/>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s>
  <cellStyleXfs count="2">
    <xf numFmtId="0" fontId="0" fillId="0" borderId="0"/>
    <xf numFmtId="0" fontId="5" fillId="0" borderId="0"/>
  </cellStyleXfs>
  <cellXfs count="22">
    <xf numFmtId="0" fontId="0" fillId="0" borderId="0" xfId="0"/>
    <xf numFmtId="0" fontId="4" fillId="0" borderId="0" xfId="0" applyFont="1" applyAlignment="1">
      <alignment horizontal="left"/>
    </xf>
    <xf numFmtId="49" fontId="0" fillId="0" borderId="0" xfId="0" applyNumberFormat="1"/>
    <xf numFmtId="49" fontId="4" fillId="0" borderId="2" xfId="0" applyNumberFormat="1" applyFont="1" applyBorder="1" applyAlignment="1">
      <alignment vertical="top" wrapText="1"/>
    </xf>
    <xf numFmtId="0" fontId="4" fillId="0" borderId="2" xfId="0" applyFont="1" applyBorder="1" applyAlignment="1">
      <alignment vertical="top" wrapText="1"/>
    </xf>
    <xf numFmtId="49" fontId="4" fillId="0" borderId="3" xfId="0" applyNumberFormat="1" applyFont="1" applyBorder="1" applyAlignment="1">
      <alignment vertical="top" wrapText="1"/>
    </xf>
    <xf numFmtId="0" fontId="4" fillId="0" borderId="3" xfId="0" applyFont="1" applyBorder="1" applyAlignment="1">
      <alignment vertical="top" wrapText="1"/>
    </xf>
    <xf numFmtId="1" fontId="2" fillId="0" borderId="1" xfId="0" applyNumberFormat="1" applyFont="1" applyBorder="1" applyAlignment="1">
      <alignment vertical="top" wrapText="1"/>
    </xf>
    <xf numFmtId="0" fontId="2" fillId="0" borderId="1" xfId="0" applyFont="1" applyBorder="1" applyAlignment="1">
      <alignment vertical="top" wrapText="1"/>
    </xf>
    <xf numFmtId="14" fontId="2" fillId="0" borderId="1" xfId="0" applyNumberFormat="1" applyFont="1" applyBorder="1" applyAlignment="1">
      <alignment vertical="top" wrapText="1"/>
    </xf>
    <xf numFmtId="164" fontId="4" fillId="0" borderId="3" xfId="0" applyNumberFormat="1" applyFont="1" applyBorder="1" applyAlignment="1">
      <alignment vertical="top" wrapText="1"/>
    </xf>
    <xf numFmtId="164" fontId="4" fillId="0" borderId="2" xfId="0" applyNumberFormat="1" applyFont="1" applyBorder="1" applyAlignment="1">
      <alignment vertical="top" wrapText="1"/>
    </xf>
    <xf numFmtId="0" fontId="4" fillId="0" borderId="4" xfId="0" applyFont="1" applyBorder="1" applyAlignment="1">
      <alignment vertical="top" wrapText="1"/>
    </xf>
    <xf numFmtId="0" fontId="6" fillId="0" borderId="2" xfId="0" applyFont="1" applyBorder="1" applyAlignment="1">
      <alignment vertical="top" wrapText="1"/>
    </xf>
    <xf numFmtId="0" fontId="7" fillId="0" borderId="0" xfId="0" applyFont="1"/>
    <xf numFmtId="0" fontId="9" fillId="0" borderId="0" xfId="0" applyFont="1"/>
    <xf numFmtId="9" fontId="0" fillId="0" borderId="0" xfId="0" applyNumberFormat="1"/>
    <xf numFmtId="0" fontId="0" fillId="0" borderId="0" xfId="0" applyAlignment="1">
      <alignment horizontal="left"/>
    </xf>
    <xf numFmtId="0" fontId="1" fillId="0" borderId="5" xfId="0" applyFont="1" applyBorder="1" applyAlignment="1">
      <alignment horizontal="left" vertical="center"/>
    </xf>
    <xf numFmtId="0" fontId="8" fillId="0" borderId="6"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cellXfs>
  <cellStyles count="2">
    <cellStyle name="Standaard" xfId="0" builtinId="0"/>
    <cellStyle name="Standaard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Aanta issues</a:t>
            </a:r>
            <a:r>
              <a:rPr lang="nl-NL" baseline="0"/>
              <a:t> / dagen niet gereed</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barChart>
        <c:barDir val="col"/>
        <c:grouping val="clustered"/>
        <c:varyColors val="0"/>
        <c:ser>
          <c:idx val="0"/>
          <c:order val="0"/>
          <c:spPr>
            <a:solidFill>
              <a:schemeClr val="accent1"/>
            </a:solidFill>
            <a:ln>
              <a:noFill/>
            </a:ln>
            <a:effectLst/>
          </c:spPr>
          <c:invertIfNegative val="0"/>
          <c:cat>
            <c:strRef>
              <c:f>Afbeelding!$E$7:$E$11</c:f>
              <c:strCache>
                <c:ptCount val="5"/>
                <c:pt idx="0">
                  <c:v>&lt; 10</c:v>
                </c:pt>
                <c:pt idx="1">
                  <c:v>&lt; 20</c:v>
                </c:pt>
                <c:pt idx="2">
                  <c:v>&lt; 40</c:v>
                </c:pt>
                <c:pt idx="3">
                  <c:v>&lt; 80</c:v>
                </c:pt>
                <c:pt idx="4">
                  <c:v>&gt; 80</c:v>
                </c:pt>
              </c:strCache>
            </c:strRef>
          </c:cat>
          <c:val>
            <c:numRef>
              <c:f>Afbeelding!$F$7:$F$11</c:f>
              <c:numCache>
                <c:formatCode>General</c:formatCode>
                <c:ptCount val="5"/>
                <c:pt idx="0">
                  <c:v>0</c:v>
                </c:pt>
                <c:pt idx="1">
                  <c:v>1</c:v>
                </c:pt>
                <c:pt idx="2">
                  <c:v>2</c:v>
                </c:pt>
                <c:pt idx="3">
                  <c:v>1</c:v>
                </c:pt>
                <c:pt idx="4">
                  <c:v>0</c:v>
                </c:pt>
              </c:numCache>
            </c:numRef>
          </c:val>
          <c:extLst>
            <c:ext xmlns:c16="http://schemas.microsoft.com/office/drawing/2014/chart" uri="{C3380CC4-5D6E-409C-BE32-E72D297353CC}">
              <c16:uniqueId val="{00000000-DC4B-4A60-8E8F-CC6AF2D9DC3E}"/>
            </c:ext>
          </c:extLst>
        </c:ser>
        <c:dLbls>
          <c:showLegendKey val="0"/>
          <c:showVal val="0"/>
          <c:showCatName val="0"/>
          <c:showSerName val="0"/>
          <c:showPercent val="0"/>
          <c:showBubbleSize val="0"/>
        </c:dLbls>
        <c:gapWidth val="219"/>
        <c:overlap val="-27"/>
        <c:axId val="555288608"/>
        <c:axId val="555289592"/>
      </c:barChart>
      <c:catAx>
        <c:axId val="55528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555289592"/>
        <c:crosses val="autoZero"/>
        <c:auto val="1"/>
        <c:lblAlgn val="ctr"/>
        <c:lblOffset val="100"/>
        <c:noMultiLvlLbl val="0"/>
      </c:catAx>
      <c:valAx>
        <c:axId val="555289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555288608"/>
        <c:crosses val="autoZero"/>
        <c:crossBetween val="between"/>
        <c:majorUnit val="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468630</xdr:colOff>
      <xdr:row>19</xdr:row>
      <xdr:rowOff>161925</xdr:rowOff>
    </xdr:from>
    <xdr:to>
      <xdr:col>7</xdr:col>
      <xdr:colOff>560070</xdr:colOff>
      <xdr:row>34</xdr:row>
      <xdr:rowOff>161925</xdr:rowOff>
    </xdr:to>
    <xdr:graphicFrame macro="">
      <xdr:nvGraphicFramePr>
        <xdr:cNvPr id="2" name="Grafiek 1">
          <a:extLst>
            <a:ext uri="{FF2B5EF4-FFF2-40B4-BE49-F238E27FC236}">
              <a16:creationId xmlns:a16="http://schemas.microsoft.com/office/drawing/2014/main" id="{927CEF35-4423-491B-A108-BBF231B78B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2"/>
  <sheetViews>
    <sheetView tabSelected="1" workbookViewId="0">
      <selection activeCell="B12" sqref="B12"/>
    </sheetView>
  </sheetViews>
  <sheetFormatPr defaultColWidth="8.85546875" defaultRowHeight="15" x14ac:dyDescent="0.25"/>
  <cols>
    <col min="1" max="2" width="10.42578125" customWidth="1"/>
    <col min="3" max="4" width="40.42578125" customWidth="1"/>
    <col min="5" max="6" width="10.42578125" customWidth="1"/>
  </cols>
  <sheetData>
    <row r="1" spans="1:11" ht="30" customHeight="1" x14ac:dyDescent="0.25">
      <c r="A1" s="18" t="s">
        <v>10</v>
      </c>
      <c r="B1" s="18"/>
      <c r="C1" s="18"/>
      <c r="D1" s="18"/>
      <c r="E1" s="18"/>
      <c r="F1" s="18"/>
      <c r="G1" s="18"/>
    </row>
    <row r="2" spans="1:11" ht="30" customHeight="1" x14ac:dyDescent="0.25">
      <c r="A2" s="19" t="s">
        <v>32</v>
      </c>
      <c r="B2" s="20"/>
      <c r="C2" s="20"/>
      <c r="D2" s="20"/>
      <c r="E2" s="20"/>
      <c r="F2" s="20"/>
      <c r="G2" s="21"/>
    </row>
    <row r="3" spans="1:11" s="4" customFormat="1" ht="31.35" customHeight="1" x14ac:dyDescent="0.25">
      <c r="A3" s="19" t="s">
        <v>31</v>
      </c>
      <c r="B3" s="20"/>
      <c r="C3" s="20"/>
      <c r="D3" s="20"/>
      <c r="E3" s="20"/>
      <c r="F3" s="20"/>
      <c r="G3" s="21"/>
    </row>
    <row r="4" spans="1:11" s="4" customFormat="1" ht="14.45" customHeight="1" x14ac:dyDescent="0.25"/>
    <row r="5" spans="1:11" s="4" customFormat="1" ht="14.45" customHeight="1" x14ac:dyDescent="0.25">
      <c r="A5" s="13" t="s">
        <v>1</v>
      </c>
      <c r="B5" s="10">
        <v>45260</v>
      </c>
      <c r="C5" s="4" t="s">
        <v>30</v>
      </c>
    </row>
    <row r="6" spans="1:11" s="4" customFormat="1" ht="14.45" customHeight="1" x14ac:dyDescent="0.25"/>
    <row r="7" spans="1:11" ht="15" customHeight="1" x14ac:dyDescent="0.25">
      <c r="A7" s="7" t="s">
        <v>0</v>
      </c>
      <c r="B7" s="7" t="s">
        <v>1</v>
      </c>
      <c r="C7" s="8" t="s">
        <v>2</v>
      </c>
      <c r="D7" s="8" t="s">
        <v>3</v>
      </c>
      <c r="E7" s="8" t="s">
        <v>4</v>
      </c>
      <c r="F7" s="9" t="s">
        <v>5</v>
      </c>
      <c r="G7" s="9" t="s">
        <v>9</v>
      </c>
      <c r="J7" s="4" t="s">
        <v>24</v>
      </c>
      <c r="K7" s="4" t="s">
        <v>25</v>
      </c>
    </row>
    <row r="8" spans="1:11" x14ac:dyDescent="0.25">
      <c r="A8" s="6">
        <v>1</v>
      </c>
      <c r="B8" s="10"/>
      <c r="C8" s="6"/>
      <c r="D8" s="6"/>
      <c r="E8" s="6"/>
      <c r="F8" s="6"/>
      <c r="G8" s="6"/>
      <c r="J8" s="4"/>
      <c r="K8" s="4"/>
    </row>
    <row r="9" spans="1:11" ht="38.25" x14ac:dyDescent="0.25">
      <c r="A9" s="4">
        <f>A8+1</f>
        <v>2</v>
      </c>
      <c r="B9" s="10">
        <v>45201</v>
      </c>
      <c r="C9" s="4" t="s">
        <v>11</v>
      </c>
      <c r="D9" s="4" t="s">
        <v>12</v>
      </c>
      <c r="E9" s="4" t="s">
        <v>13</v>
      </c>
      <c r="F9" s="5" t="s">
        <v>7</v>
      </c>
      <c r="G9" s="6">
        <f>B$5-B9</f>
        <v>59</v>
      </c>
      <c r="J9" s="6">
        <f t="shared" ref="J9:J14" si="0">ROUNDUP(G9/7,0)</f>
        <v>9</v>
      </c>
      <c r="K9" s="6">
        <f>ROUNDUP(G9/30,0)</f>
        <v>2</v>
      </c>
    </row>
    <row r="10" spans="1:11" x14ac:dyDescent="0.25">
      <c r="A10" s="4">
        <f t="shared" ref="A10:A17" si="1">A9+1</f>
        <v>3</v>
      </c>
      <c r="B10" s="10">
        <v>45232</v>
      </c>
      <c r="C10" s="4" t="s">
        <v>33</v>
      </c>
      <c r="D10" s="4" t="s">
        <v>33</v>
      </c>
      <c r="E10" s="4" t="s">
        <v>33</v>
      </c>
      <c r="F10" s="5" t="s">
        <v>8</v>
      </c>
      <c r="G10" s="6">
        <f>B$5-B10</f>
        <v>28</v>
      </c>
      <c r="J10" s="6">
        <f t="shared" si="0"/>
        <v>4</v>
      </c>
      <c r="K10" s="6">
        <f t="shared" ref="K10:K14" si="2">ROUNDUP(G10/30,0)</f>
        <v>1</v>
      </c>
    </row>
    <row r="11" spans="1:11" x14ac:dyDescent="0.25">
      <c r="A11" s="4">
        <f t="shared" si="1"/>
        <v>4</v>
      </c>
      <c r="B11" s="10">
        <v>45239</v>
      </c>
      <c r="C11" s="4" t="s">
        <v>33</v>
      </c>
      <c r="D11" s="4" t="s">
        <v>33</v>
      </c>
      <c r="E11" s="4" t="s">
        <v>33</v>
      </c>
      <c r="F11" s="5" t="s">
        <v>8</v>
      </c>
      <c r="G11" s="6">
        <f>B$5-B11</f>
        <v>21</v>
      </c>
      <c r="J11" s="6">
        <f t="shared" si="0"/>
        <v>3</v>
      </c>
      <c r="K11" s="6">
        <f t="shared" si="2"/>
        <v>1</v>
      </c>
    </row>
    <row r="12" spans="1:11" x14ac:dyDescent="0.25">
      <c r="A12" s="4">
        <f t="shared" si="1"/>
        <v>5</v>
      </c>
      <c r="B12" s="11">
        <v>45245</v>
      </c>
      <c r="C12" s="4" t="s">
        <v>33</v>
      </c>
      <c r="D12" s="4" t="s">
        <v>33</v>
      </c>
      <c r="E12" s="4" t="s">
        <v>33</v>
      </c>
      <c r="F12" s="5" t="s">
        <v>8</v>
      </c>
      <c r="G12" s="6">
        <f>B$5-B12</f>
        <v>15</v>
      </c>
      <c r="J12" s="6">
        <f t="shared" si="0"/>
        <v>3</v>
      </c>
      <c r="K12" s="6">
        <f t="shared" si="2"/>
        <v>1</v>
      </c>
    </row>
    <row r="13" spans="1:11" x14ac:dyDescent="0.25">
      <c r="A13" s="4">
        <f t="shared" si="1"/>
        <v>6</v>
      </c>
      <c r="B13" s="11"/>
      <c r="C13" s="12"/>
      <c r="D13" s="4"/>
      <c r="E13" s="12"/>
      <c r="F13" s="5"/>
      <c r="G13" s="6"/>
      <c r="J13" s="6">
        <f t="shared" si="0"/>
        <v>0</v>
      </c>
      <c r="K13" s="6">
        <f t="shared" si="2"/>
        <v>0</v>
      </c>
    </row>
    <row r="14" spans="1:11" x14ac:dyDescent="0.25">
      <c r="A14" s="4">
        <f t="shared" si="1"/>
        <v>7</v>
      </c>
      <c r="B14" s="11"/>
      <c r="C14" s="4"/>
      <c r="D14" s="4"/>
      <c r="E14" s="4"/>
      <c r="F14" s="5"/>
      <c r="G14" s="6"/>
      <c r="J14" s="6">
        <f t="shared" si="0"/>
        <v>0</v>
      </c>
      <c r="K14" s="6">
        <f t="shared" si="2"/>
        <v>0</v>
      </c>
    </row>
    <row r="15" spans="1:11" x14ac:dyDescent="0.25">
      <c r="A15" s="4">
        <f t="shared" si="1"/>
        <v>8</v>
      </c>
      <c r="B15" s="11"/>
      <c r="C15" s="4"/>
      <c r="D15" s="4"/>
      <c r="E15" s="4"/>
      <c r="F15" s="3"/>
      <c r="G15" s="6"/>
      <c r="J15" s="6"/>
      <c r="K15" s="6"/>
    </row>
    <row r="16" spans="1:11" ht="15" customHeight="1" x14ac:dyDescent="0.25">
      <c r="A16" s="4">
        <f t="shared" si="1"/>
        <v>9</v>
      </c>
      <c r="B16" s="11"/>
      <c r="C16" s="4"/>
      <c r="D16" s="4"/>
      <c r="E16" s="4"/>
      <c r="F16" s="4"/>
      <c r="G16" s="4"/>
      <c r="J16" s="6"/>
      <c r="K16" s="6"/>
    </row>
    <row r="17" spans="1:11" ht="15" customHeight="1" x14ac:dyDescent="0.25">
      <c r="A17" s="4">
        <f t="shared" si="1"/>
        <v>10</v>
      </c>
      <c r="B17" s="11"/>
      <c r="C17" s="4"/>
      <c r="D17" s="4"/>
      <c r="E17" s="4"/>
      <c r="F17" s="4"/>
      <c r="G17" s="4"/>
      <c r="J17" s="6"/>
      <c r="K17" s="6"/>
    </row>
    <row r="18" spans="1:11" ht="15" customHeight="1" x14ac:dyDescent="0.25">
      <c r="A18" s="4">
        <f t="shared" ref="A18:A30" si="3">A17+1</f>
        <v>11</v>
      </c>
      <c r="B18" s="11"/>
      <c r="C18" s="4"/>
      <c r="D18" s="4"/>
      <c r="E18" s="4"/>
      <c r="F18" s="4"/>
      <c r="G18" s="4"/>
      <c r="J18" s="6"/>
      <c r="K18" s="6"/>
    </row>
    <row r="19" spans="1:11" ht="15" customHeight="1" x14ac:dyDescent="0.25">
      <c r="A19" s="4">
        <f t="shared" si="3"/>
        <v>12</v>
      </c>
      <c r="B19" s="11"/>
      <c r="C19" s="4"/>
      <c r="D19" s="4"/>
      <c r="E19" s="4"/>
      <c r="F19" s="4"/>
      <c r="G19" s="4"/>
      <c r="J19" s="6"/>
      <c r="K19" s="6"/>
    </row>
    <row r="20" spans="1:11" ht="15" customHeight="1" x14ac:dyDescent="0.25">
      <c r="A20" s="4">
        <f t="shared" si="3"/>
        <v>13</v>
      </c>
      <c r="B20" s="11"/>
      <c r="C20" s="4"/>
      <c r="D20" s="4"/>
      <c r="E20" s="4"/>
      <c r="F20" s="4"/>
      <c r="G20" s="4"/>
      <c r="J20" s="6"/>
      <c r="K20" s="6"/>
    </row>
    <row r="21" spans="1:11" ht="15" customHeight="1" x14ac:dyDescent="0.25">
      <c r="A21" s="4">
        <f t="shared" si="3"/>
        <v>14</v>
      </c>
      <c r="B21" s="11"/>
      <c r="C21" s="4"/>
      <c r="D21" s="4"/>
      <c r="E21" s="4"/>
      <c r="F21" s="4"/>
      <c r="G21" s="4"/>
      <c r="J21" s="6"/>
      <c r="K21" s="6"/>
    </row>
    <row r="22" spans="1:11" ht="15" customHeight="1" x14ac:dyDescent="0.25">
      <c r="A22" s="4">
        <f t="shared" si="3"/>
        <v>15</v>
      </c>
      <c r="B22" s="11"/>
      <c r="C22" s="4"/>
      <c r="D22" s="4"/>
      <c r="E22" s="4"/>
      <c r="F22" s="4"/>
      <c r="G22" s="4"/>
      <c r="J22" s="6"/>
      <c r="K22" s="6"/>
    </row>
    <row r="23" spans="1:11" ht="15" customHeight="1" x14ac:dyDescent="0.25">
      <c r="A23" s="4">
        <f t="shared" si="3"/>
        <v>16</v>
      </c>
      <c r="B23" s="11"/>
      <c r="C23" s="4"/>
      <c r="D23" s="4"/>
      <c r="E23" s="4"/>
      <c r="F23" s="4"/>
      <c r="G23" s="4"/>
      <c r="J23" s="6"/>
      <c r="K23" s="6"/>
    </row>
    <row r="24" spans="1:11" ht="15" customHeight="1" x14ac:dyDescent="0.25">
      <c r="A24" s="4">
        <f t="shared" si="3"/>
        <v>17</v>
      </c>
      <c r="B24" s="11"/>
      <c r="C24" s="4"/>
      <c r="D24" s="4"/>
      <c r="E24" s="4"/>
      <c r="F24" s="4"/>
      <c r="G24" s="4"/>
      <c r="J24" s="6"/>
      <c r="K24" s="6"/>
    </row>
    <row r="25" spans="1:11" ht="15" customHeight="1" x14ac:dyDescent="0.25">
      <c r="A25" s="4">
        <f t="shared" si="3"/>
        <v>18</v>
      </c>
      <c r="B25" s="11"/>
      <c r="C25" s="4"/>
      <c r="D25" s="4"/>
      <c r="E25" s="4"/>
      <c r="F25" s="4"/>
      <c r="G25" s="4"/>
      <c r="J25" s="6"/>
      <c r="K25" s="6"/>
    </row>
    <row r="26" spans="1:11" ht="15" customHeight="1" x14ac:dyDescent="0.25">
      <c r="A26" s="4">
        <f t="shared" si="3"/>
        <v>19</v>
      </c>
      <c r="B26" s="11"/>
      <c r="C26" s="4"/>
      <c r="D26" s="4"/>
      <c r="E26" s="4"/>
      <c r="F26" s="4"/>
      <c r="G26" s="4"/>
      <c r="J26" s="6"/>
      <c r="K26" s="6"/>
    </row>
    <row r="27" spans="1:11" ht="15" customHeight="1" x14ac:dyDescent="0.25">
      <c r="A27" s="4">
        <f t="shared" si="3"/>
        <v>20</v>
      </c>
      <c r="B27" s="11"/>
      <c r="C27" s="4"/>
      <c r="D27" s="4"/>
      <c r="E27" s="4"/>
      <c r="F27" s="4"/>
      <c r="G27" s="4"/>
      <c r="J27" s="6"/>
      <c r="K27" s="6"/>
    </row>
    <row r="28" spans="1:11" ht="15" customHeight="1" x14ac:dyDescent="0.25">
      <c r="A28" s="4">
        <f t="shared" si="3"/>
        <v>21</v>
      </c>
      <c r="B28" s="11"/>
      <c r="C28" s="4"/>
      <c r="D28" s="4"/>
      <c r="E28" s="4"/>
      <c r="F28" s="4"/>
      <c r="G28" s="4"/>
      <c r="J28" s="6"/>
      <c r="K28" s="6"/>
    </row>
    <row r="29" spans="1:11" ht="15" customHeight="1" x14ac:dyDescent="0.25">
      <c r="A29" s="4">
        <f t="shared" si="3"/>
        <v>22</v>
      </c>
      <c r="B29" s="11"/>
      <c r="C29" s="4"/>
      <c r="D29" s="4"/>
      <c r="E29" s="4"/>
      <c r="F29" s="4"/>
      <c r="G29" s="4"/>
      <c r="J29" s="6"/>
      <c r="K29" s="6"/>
    </row>
    <row r="30" spans="1:11" ht="15" customHeight="1" x14ac:dyDescent="0.25">
      <c r="A30" s="4">
        <f t="shared" si="3"/>
        <v>23</v>
      </c>
      <c r="B30" s="11"/>
      <c r="C30" s="4"/>
      <c r="D30" s="4"/>
      <c r="E30" s="4"/>
      <c r="F30" s="4"/>
      <c r="G30" s="4"/>
      <c r="J30" s="6"/>
      <c r="K30" s="6"/>
    </row>
    <row r="31" spans="1:11" ht="15" customHeight="1" x14ac:dyDescent="0.25">
      <c r="A31" s="1"/>
      <c r="B31" s="1"/>
      <c r="C31" s="1"/>
      <c r="D31" s="1"/>
      <c r="E31" s="1"/>
      <c r="F31" s="1"/>
    </row>
    <row r="32" spans="1:11" ht="15" customHeight="1" x14ac:dyDescent="0.25">
      <c r="A32" s="1"/>
      <c r="B32" s="1"/>
      <c r="C32" s="1"/>
      <c r="D32" s="1"/>
      <c r="E32" s="1"/>
      <c r="F32" s="1"/>
    </row>
  </sheetData>
  <autoFilter ref="A7:G30" xr:uid="{00000000-0009-0000-0000-000001000000}"/>
  <mergeCells count="3">
    <mergeCell ref="A1:G1"/>
    <mergeCell ref="A3:G3"/>
    <mergeCell ref="A2:G2"/>
  </mergeCells>
  <dataValidations disablePrompts="1" count="1">
    <dataValidation type="list" allowBlank="1" showInputMessage="1" showErrorMessage="1" sqref="E4:E6" xr:uid="{00000000-0002-0000-0100-000000000000}">
      <formula1>Initialen</formula1>
    </dataValidation>
  </dataValidations>
  <pageMargins left="0.7" right="0.7" top="0.75" bottom="0.75" header="0.3" footer="0.3"/>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EAFEE-70E6-40BF-B740-F7AFA6B523BA}">
  <dimension ref="A1:O18"/>
  <sheetViews>
    <sheetView workbookViewId="0">
      <selection activeCell="A4" sqref="A4"/>
    </sheetView>
  </sheetViews>
  <sheetFormatPr defaultColWidth="8.85546875" defaultRowHeight="15" x14ac:dyDescent="0.25"/>
  <cols>
    <col min="11" max="11" width="9.42578125" bestFit="1" customWidth="1"/>
  </cols>
  <sheetData>
    <row r="1" spans="1:15" x14ac:dyDescent="0.25">
      <c r="A1" s="14" t="s">
        <v>14</v>
      </c>
    </row>
    <row r="2" spans="1:15" x14ac:dyDescent="0.25">
      <c r="A2" s="15" t="s">
        <v>15</v>
      </c>
    </row>
    <row r="3" spans="1:15" x14ac:dyDescent="0.25">
      <c r="A3" s="15" t="s">
        <v>29</v>
      </c>
    </row>
    <row r="4" spans="1:15" x14ac:dyDescent="0.25">
      <c r="A4" s="15" t="s">
        <v>34</v>
      </c>
    </row>
    <row r="6" spans="1:15" x14ac:dyDescent="0.25">
      <c r="A6" t="s">
        <v>16</v>
      </c>
      <c r="E6" t="s">
        <v>23</v>
      </c>
    </row>
    <row r="7" spans="1:15" x14ac:dyDescent="0.25">
      <c r="A7" s="2" t="s">
        <v>8</v>
      </c>
      <c r="B7">
        <f>COUNTIF(Issues!$F$8:$F$27,Afbeelding!A7)</f>
        <v>3</v>
      </c>
      <c r="C7" s="16">
        <f t="shared" ref="C7:C8" si="0">B7/B$10</f>
        <v>0.75</v>
      </c>
      <c r="E7" t="s">
        <v>18</v>
      </c>
      <c r="F7">
        <f>COUNTIF(Issues!$G$8:$G$24,E7)</f>
        <v>0</v>
      </c>
      <c r="G7" s="16">
        <f>F7/$F$12</f>
        <v>0</v>
      </c>
      <c r="I7" s="17"/>
      <c r="K7" s="16"/>
      <c r="M7" s="17"/>
      <c r="O7" s="16"/>
    </row>
    <row r="8" spans="1:15" x14ac:dyDescent="0.25">
      <c r="A8" s="2" t="s">
        <v>7</v>
      </c>
      <c r="B8">
        <f>COUNTIF(Issues!$F$8:$F$27,Afbeelding!A8)</f>
        <v>1</v>
      </c>
      <c r="C8" s="16">
        <f t="shared" si="0"/>
        <v>0.25</v>
      </c>
      <c r="E8" t="s">
        <v>19</v>
      </c>
      <c r="F8">
        <f>COUNTIF(Issues!$G$8:$G$24,E8)-F7</f>
        <v>1</v>
      </c>
      <c r="G8" s="16">
        <f t="shared" ref="G8:G11" si="1">F8/$F$12</f>
        <v>0.25</v>
      </c>
      <c r="I8" s="17"/>
      <c r="K8" s="16"/>
      <c r="M8" s="17"/>
      <c r="O8" s="16"/>
    </row>
    <row r="9" spans="1:15" x14ac:dyDescent="0.25">
      <c r="A9" s="2" t="s">
        <v>6</v>
      </c>
      <c r="B9">
        <f>COUNTIF(Issues!$F$8:$F$27,Afbeelding!A9)</f>
        <v>0</v>
      </c>
      <c r="C9" s="16">
        <f>B9/B$10</f>
        <v>0</v>
      </c>
      <c r="E9" t="s">
        <v>20</v>
      </c>
      <c r="F9">
        <f>COUNTIF(Issues!$G$8:$G$24,E9)-F8-F7</f>
        <v>2</v>
      </c>
      <c r="G9" s="16">
        <f t="shared" si="1"/>
        <v>0.5</v>
      </c>
      <c r="I9" s="17"/>
      <c r="K9" s="16"/>
      <c r="M9" s="17"/>
      <c r="O9" s="16"/>
    </row>
    <row r="10" spans="1:15" x14ac:dyDescent="0.25">
      <c r="A10" s="2" t="s">
        <v>17</v>
      </c>
      <c r="B10">
        <f>B7+B8+B9</f>
        <v>4</v>
      </c>
      <c r="C10" s="16">
        <f>C7+C8+C9</f>
        <v>1</v>
      </c>
      <c r="E10" t="s">
        <v>21</v>
      </c>
      <c r="F10">
        <f>COUNTIF(Issues!$G$8:$G$24,E10)-F9-F8-F7</f>
        <v>1</v>
      </c>
      <c r="G10" s="16">
        <f t="shared" si="1"/>
        <v>0.25</v>
      </c>
      <c r="I10" s="17"/>
      <c r="K10" s="16"/>
      <c r="M10" s="17"/>
      <c r="O10" s="16"/>
    </row>
    <row r="11" spans="1:15" x14ac:dyDescent="0.25">
      <c r="E11" t="s">
        <v>22</v>
      </c>
      <c r="F11">
        <f>COUNTIF(Issues!$G$8:$G$24,E11)</f>
        <v>0</v>
      </c>
      <c r="G11" s="16">
        <f t="shared" si="1"/>
        <v>0</v>
      </c>
      <c r="I11" s="17"/>
      <c r="K11" s="16"/>
      <c r="O11" s="16"/>
    </row>
    <row r="12" spans="1:15" x14ac:dyDescent="0.25">
      <c r="A12" s="2"/>
      <c r="C12" s="16"/>
      <c r="E12" t="s">
        <v>17</v>
      </c>
      <c r="F12">
        <f>SUM(F7:F11)</f>
        <v>4</v>
      </c>
      <c r="G12" s="16">
        <f>SUM(G7:G11)</f>
        <v>1</v>
      </c>
      <c r="I12" s="17"/>
      <c r="K12" s="16"/>
    </row>
    <row r="13" spans="1:15" x14ac:dyDescent="0.25">
      <c r="I13" s="17"/>
      <c r="K13" s="16"/>
    </row>
    <row r="14" spans="1:15" x14ac:dyDescent="0.25">
      <c r="E14" t="s">
        <v>26</v>
      </c>
      <c r="G14">
        <f>AVERAGE(Issues!G8:G24)</f>
        <v>30.75</v>
      </c>
      <c r="I14" s="17"/>
      <c r="K14" s="16"/>
    </row>
    <row r="15" spans="1:15" x14ac:dyDescent="0.25">
      <c r="E15" t="s">
        <v>26</v>
      </c>
      <c r="G15">
        <f>ROUNDUP(AVERAGE(Issues!G8:G24),0)</f>
        <v>31</v>
      </c>
      <c r="I15" s="17"/>
      <c r="K15" s="16"/>
    </row>
    <row r="16" spans="1:15" x14ac:dyDescent="0.25">
      <c r="E16" t="s">
        <v>27</v>
      </c>
      <c r="G16">
        <f>ROUNDUP(G14/7,0)</f>
        <v>5</v>
      </c>
      <c r="I16" s="17"/>
      <c r="K16" s="16"/>
    </row>
    <row r="17" spans="5:11" x14ac:dyDescent="0.25">
      <c r="E17" t="s">
        <v>28</v>
      </c>
      <c r="G17">
        <f>ROUNDUP(G14/30,0)</f>
        <v>2</v>
      </c>
      <c r="I17" s="17"/>
      <c r="K17" s="16"/>
    </row>
    <row r="18" spans="5:11" x14ac:dyDescent="0.25">
      <c r="K18" s="1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2</vt:i4>
      </vt:variant>
    </vt:vector>
  </HeadingPairs>
  <TitlesOfParts>
    <vt:vector size="2" baseType="lpstr">
      <vt:lpstr>Issues</vt:lpstr>
      <vt:lpstr>Afbeelding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 van Loon</dc:creator>
  <cp:lastModifiedBy>Niels van Loon</cp:lastModifiedBy>
  <dcterms:created xsi:type="dcterms:W3CDTF">2017-05-29T15:09:23Z</dcterms:created>
  <dcterms:modified xsi:type="dcterms:W3CDTF">2024-05-10T11:59:13Z</dcterms:modified>
</cp:coreProperties>
</file>