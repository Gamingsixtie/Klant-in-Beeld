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531"/>
  <workbookPr defaultThemeVersion="166925"/>
  <mc:AlternateContent xmlns:mc="http://schemas.openxmlformats.org/markup-compatibility/2006">
    <mc:Choice Requires="x15">
      <x15ac:absPath xmlns:x15ac="http://schemas.microsoft.com/office/spreadsheetml/2010/11/ac" url="C:\Users\NielsvanLoon\Dropbox\PGM - Handboek programmamanagement\05. Templates\04. Diverse formats in xls\"/>
    </mc:Choice>
  </mc:AlternateContent>
  <xr:revisionPtr revIDLastSave="0" documentId="13_ncr:1_{11CC0C65-B181-4661-853F-F91C8EEFE49C}" xr6:coauthVersionLast="47" xr6:coauthVersionMax="47" xr10:uidLastSave="{00000000-0000-0000-0000-000000000000}"/>
  <bookViews>
    <workbookView xWindow="-120" yWindow="-120" windowWidth="27870" windowHeight="16440" xr2:uid="{B2FEC5BA-FD18-4EB6-9FC1-2F0E6ACFCDB4}"/>
  </bookViews>
  <sheets>
    <sheet name="Programmabudget"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19" i="1" l="1"/>
  <c r="I21" i="1" s="1"/>
  <c r="G19" i="1"/>
  <c r="G21" i="1" s="1"/>
  <c r="E19" i="1"/>
  <c r="E21" i="1" s="1"/>
  <c r="D19" i="1"/>
  <c r="D21" i="1" s="1"/>
  <c r="F20" i="1"/>
  <c r="H20" i="1" s="1"/>
  <c r="J20" i="1" s="1"/>
  <c r="F18" i="1"/>
  <c r="H18" i="1" s="1"/>
  <c r="J18" i="1" s="1"/>
  <c r="F17" i="1"/>
  <c r="H17" i="1" s="1"/>
  <c r="J17" i="1" s="1"/>
  <c r="F14" i="1"/>
  <c r="H14" i="1" s="1"/>
  <c r="J14" i="1" s="1"/>
  <c r="F13" i="1"/>
  <c r="H13" i="1" s="1"/>
  <c r="J13" i="1" s="1"/>
  <c r="F12" i="1"/>
  <c r="H12" i="1" s="1"/>
  <c r="J12" i="1" s="1"/>
  <c r="F10" i="1"/>
  <c r="H10" i="1" s="1"/>
  <c r="J10" i="1" s="1"/>
  <c r="F9" i="1"/>
  <c r="H9" i="1" s="1"/>
  <c r="J9" i="1" s="1"/>
  <c r="F21" i="1" l="1"/>
  <c r="H21" i="1" s="1"/>
  <c r="J21" i="1" s="1"/>
  <c r="F19" i="1"/>
  <c r="H19" i="1" s="1"/>
  <c r="J19" i="1" s="1"/>
</calcChain>
</file>

<file path=xl/sharedStrings.xml><?xml version="1.0" encoding="utf-8"?>
<sst xmlns="http://schemas.openxmlformats.org/spreadsheetml/2006/main" count="26" uniqueCount="25">
  <si>
    <t xml:space="preserve">Template bewaken programmabudgetten </t>
  </si>
  <si>
    <t>Kostenpost</t>
  </si>
  <si>
    <t>Budget (O)</t>
  </si>
  <si>
    <t>Realisatie (R)</t>
  </si>
  <si>
    <t>Progose (P)</t>
  </si>
  <si>
    <t>Saldo (S)</t>
  </si>
  <si>
    <t>Verkenning</t>
  </si>
  <si>
    <t>Opbouw</t>
  </si>
  <si>
    <t>Uitvoering</t>
  </si>
  <si>
    <t>Inspanning 1</t>
  </si>
  <si>
    <t>Inspanning 2</t>
  </si>
  <si>
    <t>Inspanning 3</t>
  </si>
  <si>
    <t>…</t>
  </si>
  <si>
    <t>Afbouw</t>
  </si>
  <si>
    <t>Programmaorganisatie</t>
  </si>
  <si>
    <t>Tolerantie</t>
  </si>
  <si>
    <t>Totaal</t>
  </si>
  <si>
    <t>bedragen x 1 mio euro</t>
  </si>
  <si>
    <t>Mutatie (M)</t>
  </si>
  <si>
    <t>Budget (G)</t>
  </si>
  <si>
    <t>Budget (A)</t>
  </si>
  <si>
    <t>Kijkend naar de middelen en de voortgang in het opmaken daarvan, is het goed om onderscheid te maken tussen de volgende categorieën:
- Benodigde budgetten
- Goedgekeurde budgetten, inclusief goedgekeurde wijzigingen (om expliciet te maken waar al wel en niet akkoord voor is gegeven)
- Uitgegeven tot op heden (dat is water onder de brug en niet meer te veranderen)
- Aangegane verplichtingen, in contract of toezegging al uitgegeven, maar indien omstandigheden daarom vragen, om te buigen en alternatief in te zetten (rekening houdend met opzegtermijnen en dergelijke); tevens een indicator van wendbaarheid
- Nog te besteden budgetten (wel geoormerkt maar nog geen afspraken over gemaakt)</t>
  </si>
  <si>
    <t>Totaal excl. tolerantie</t>
  </si>
  <si>
    <t xml:space="preserve">Het oorspronkelijk budget (O) is het budget zoals opgenomen in het goedgekeurde programmaplan. 
Mutatie (M) geeft aan welke wijzigingen van het budget zijn goedgekeurd (in dit voorbeeld 0,2). Dat in dit voorbeeld de tolerantie met eenzelfde bedrag is afgenomen, wil zeggen dat de financiering van de mutatie binnen het totaalbudget heeft plaatsgevonden (het programma heeft geen extra financiering gekregen). 
Het goedgekeurde budget (G) is de optelling van oorspronkelijk budget en mutaties. 
Realisatie (R) is wat daadwerkelijk is uitgegeven of als verplichting is aangegaan en in die zin niet meer te aan te passen is. Realisatie is geen opgave van het programma zelf maar volgt uit de financiële systemen van de organisatie, waar de vastlegging van financiële transacties plaatsvindt. 
Het actuele budget (A) is wat je nog te besteden hebt. In dit voorbeeld zijn de aangegane verplichtingen niet separaat weergegeven en onderdeel van het actuele budget. 
Dat wordt iedere rapportageperiode afgezet tegen de prognose (P): een raming door de betreffende inspanningsleider van hetgeen dat vanaf heden nog nodig is om het werk af te maken conform afspraak (estimation to complete). Heb je al 50% van het budget uitgegeven maar pas 25% van je beoogde inspanningen verricht, dan heb je een uitdaging.
Het verschil tussen actueel budget en prognose leidt tot een saldo (S). Een positief saldo betekent naar verwachting een overschot aan het einde. Een individuele inspanning kan een verwacht tekort kennen en tegelijk kan een programma als geheel in de plus staan. In de spelregels rondom tolerantie spreek je met elkaar af wanneer verwachte tekorten of overschotten worden geformaliseerd en tot mutaties leiden van het goedgekeurd budget (al dan niet gefinancierd uit tolerantie of door nieuw geld). 
Het helpt om iedere keer op dezelfde manier te rapporteren over de inzet van de middelen. Zeker naarmate het financiële belang groter is, helpt een gedegen rapportage, voorzien van een expliciete controle om zekerheid te geven. Waak voor te veel informatie en details die op enig moment wel wenselijk zijn, maar niet elke keer opnieuw. De energie moet zitten in het plannen, monitoren en bijsturen, niet in het verantwoorden en rapporteren. </t>
  </si>
  <si>
    <t>Versie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</si>
</sst>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_ ;[Red]\-0.00\ "/>
  </numFmts>
  <fonts count="3" x14ac:knownFonts="1">
    <font>
      <sz val="11"/>
      <color theme="1"/>
      <name val="Calibri"/>
      <family val="2"/>
      <scheme val="minor"/>
    </font>
    <font>
      <b/>
      <sz val="11"/>
      <color theme="1"/>
      <name val="Calibri"/>
      <family val="2"/>
      <scheme val="minor"/>
    </font>
    <font>
      <sz val="10"/>
      <color theme="1"/>
      <name val="Calibri"/>
      <family val="2"/>
      <scheme val="minor"/>
    </font>
  </fonts>
  <fills count="2">
    <fill>
      <patternFill patternType="none"/>
    </fill>
    <fill>
      <patternFill patternType="gray125"/>
    </fill>
  </fills>
  <borders count="10">
    <border>
      <left/>
      <right/>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style="thin">
        <color indexed="64"/>
      </top>
      <bottom/>
      <diagonal/>
    </border>
  </borders>
  <cellStyleXfs count="1">
    <xf numFmtId="0" fontId="0" fillId="0" borderId="0"/>
  </cellStyleXfs>
  <cellXfs count="19">
    <xf numFmtId="0" fontId="0" fillId="0" borderId="0" xfId="0"/>
    <xf numFmtId="0" fontId="2" fillId="0" borderId="0" xfId="0" applyFont="1" applyAlignment="1">
      <alignment vertical="center"/>
    </xf>
    <xf numFmtId="0" fontId="2" fillId="0" borderId="0" xfId="0" applyFont="1"/>
    <xf numFmtId="0" fontId="1" fillId="0" borderId="0" xfId="0" applyFont="1"/>
    <xf numFmtId="0" fontId="0" fillId="0" borderId="0" xfId="0" applyAlignment="1">
      <alignment horizontal="right"/>
    </xf>
    <xf numFmtId="0" fontId="0" fillId="0" borderId="1" xfId="0" applyBorder="1" applyAlignment="1">
      <alignment horizontal="right"/>
    </xf>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164" fontId="0" fillId="0" borderId="1" xfId="0" applyNumberFormat="1" applyBorder="1" applyAlignment="1">
      <alignment horizontal="right"/>
    </xf>
    <xf numFmtId="164" fontId="0" fillId="0" borderId="6" xfId="0" applyNumberFormat="1" applyBorder="1" applyAlignment="1">
      <alignment horizontal="right"/>
    </xf>
    <xf numFmtId="164" fontId="0" fillId="0" borderId="9" xfId="0" applyNumberFormat="1" applyBorder="1" applyAlignment="1">
      <alignment horizontal="right"/>
    </xf>
    <xf numFmtId="164" fontId="0" fillId="0" borderId="8" xfId="0" applyNumberFormat="1" applyBorder="1" applyAlignment="1">
      <alignment horizontal="right"/>
    </xf>
    <xf numFmtId="49" fontId="2" fillId="0" borderId="0" xfId="0" applyNumberFormat="1" applyFont="1" applyAlignment="1">
      <alignment horizontal="left" vertical="top" wrapText="1"/>
    </xf>
    <xf numFmtId="0" fontId="0" fillId="0" borderId="0" xfId="0" applyFont="1"/>
    <xf numFmtId="0" fontId="0" fillId="0" borderId="0" xfId="0" applyFont="1" applyAlignment="1">
      <alignment horizontal="left"/>
    </xf>
  </cellXfs>
  <cellStyles count="1">
    <cellStyle name="Standa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2013 - 2022 Thema">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09A006-E6D0-44D7-965C-2C8A124769FE}">
  <dimension ref="A1:J39"/>
  <sheetViews>
    <sheetView tabSelected="1" workbookViewId="0">
      <selection activeCell="B24" sqref="B24:J24"/>
    </sheetView>
  </sheetViews>
  <sheetFormatPr defaultColWidth="8.85546875" defaultRowHeight="15" x14ac:dyDescent="0.25"/>
  <cols>
    <col min="2" max="2" width="4.7109375" customWidth="1"/>
    <col min="3" max="3" width="24.7109375" customWidth="1"/>
    <col min="4" max="10" width="12.7109375" style="4" customWidth="1"/>
  </cols>
  <sheetData>
    <row r="1" spans="1:10" x14ac:dyDescent="0.25">
      <c r="A1" s="3" t="s">
        <v>0</v>
      </c>
    </row>
    <row r="2" spans="1:10" x14ac:dyDescent="0.25">
      <c r="A2" s="17" t="s">
        <v>24</v>
      </c>
      <c r="B2" s="17"/>
      <c r="C2" s="18">
        <v>20231215</v>
      </c>
    </row>
    <row r="3" spans="1:10" x14ac:dyDescent="0.25">
      <c r="A3" s="3"/>
    </row>
    <row r="4" spans="1:10" ht="117" customHeight="1" x14ac:dyDescent="0.25">
      <c r="A4" s="3"/>
      <c r="B4" s="16" t="s">
        <v>21</v>
      </c>
      <c r="C4" s="16"/>
      <c r="D4" s="16"/>
      <c r="E4" s="16"/>
      <c r="F4" s="16"/>
      <c r="G4" s="16"/>
      <c r="H4" s="16"/>
      <c r="I4" s="16"/>
      <c r="J4" s="16"/>
    </row>
    <row r="5" spans="1:10" x14ac:dyDescent="0.25">
      <c r="A5" s="3"/>
    </row>
    <row r="6" spans="1:10" x14ac:dyDescent="0.25">
      <c r="J6" s="4" t="s">
        <v>17</v>
      </c>
    </row>
    <row r="8" spans="1:10" x14ac:dyDescent="0.25">
      <c r="B8" s="10" t="s">
        <v>1</v>
      </c>
      <c r="C8" s="11"/>
      <c r="D8" s="5" t="s">
        <v>2</v>
      </c>
      <c r="E8" s="5" t="s">
        <v>18</v>
      </c>
      <c r="F8" s="5" t="s">
        <v>19</v>
      </c>
      <c r="G8" s="5" t="s">
        <v>3</v>
      </c>
      <c r="H8" s="5" t="s">
        <v>20</v>
      </c>
      <c r="I8" s="5" t="s">
        <v>4</v>
      </c>
      <c r="J8" s="5" t="s">
        <v>5</v>
      </c>
    </row>
    <row r="9" spans="1:10" x14ac:dyDescent="0.25">
      <c r="B9" s="8" t="s">
        <v>6</v>
      </c>
      <c r="C9" s="9"/>
      <c r="D9" s="12">
        <v>0.5</v>
      </c>
      <c r="E9" s="12">
        <v>0.1</v>
      </c>
      <c r="F9" s="12">
        <f>D9+E9</f>
        <v>0.6</v>
      </c>
      <c r="G9" s="12">
        <v>0.61</v>
      </c>
      <c r="H9" s="12">
        <f>F9-G9</f>
        <v>-1.0000000000000009E-2</v>
      </c>
      <c r="I9" s="12">
        <v>0</v>
      </c>
      <c r="J9" s="12">
        <f>H9-I9</f>
        <v>-1.0000000000000009E-2</v>
      </c>
    </row>
    <row r="10" spans="1:10" x14ac:dyDescent="0.25">
      <c r="B10" s="8" t="s">
        <v>7</v>
      </c>
      <c r="C10" s="9"/>
      <c r="D10" s="12">
        <v>2</v>
      </c>
      <c r="E10" s="12">
        <v>-0.2</v>
      </c>
      <c r="F10" s="12">
        <f t="shared" ref="F10:F21" si="0">D10+E10</f>
        <v>1.8</v>
      </c>
      <c r="G10" s="12">
        <v>1.7</v>
      </c>
      <c r="H10" s="12">
        <f t="shared" ref="H10:H21" si="1">F10-G10</f>
        <v>0.10000000000000009</v>
      </c>
      <c r="I10" s="12">
        <v>0</v>
      </c>
      <c r="J10" s="12">
        <f>H10-I10</f>
        <v>0.10000000000000009</v>
      </c>
    </row>
    <row r="11" spans="1:10" x14ac:dyDescent="0.25">
      <c r="B11" s="6" t="s">
        <v>8</v>
      </c>
      <c r="C11" s="7"/>
      <c r="D11" s="12"/>
      <c r="E11" s="12"/>
      <c r="F11" s="12"/>
      <c r="G11" s="12"/>
      <c r="H11" s="12"/>
      <c r="I11" s="12"/>
      <c r="J11" s="12"/>
    </row>
    <row r="12" spans="1:10" x14ac:dyDescent="0.25">
      <c r="B12" s="6"/>
      <c r="C12" s="7" t="s">
        <v>9</v>
      </c>
      <c r="D12" s="12">
        <v>1.5</v>
      </c>
      <c r="E12" s="12">
        <v>0.3</v>
      </c>
      <c r="F12" s="12">
        <f t="shared" si="0"/>
        <v>1.8</v>
      </c>
      <c r="G12" s="12">
        <v>0.9</v>
      </c>
      <c r="H12" s="12">
        <f t="shared" si="1"/>
        <v>0.9</v>
      </c>
      <c r="I12" s="12">
        <v>0.9</v>
      </c>
      <c r="J12" s="12">
        <f>H12-I12</f>
        <v>0</v>
      </c>
    </row>
    <row r="13" spans="1:10" x14ac:dyDescent="0.25">
      <c r="B13" s="6"/>
      <c r="C13" s="7" t="s">
        <v>10</v>
      </c>
      <c r="D13" s="12">
        <v>3.3</v>
      </c>
      <c r="E13" s="12">
        <v>0</v>
      </c>
      <c r="F13" s="12">
        <f t="shared" si="0"/>
        <v>3.3</v>
      </c>
      <c r="G13" s="12">
        <v>1.1000000000000001</v>
      </c>
      <c r="H13" s="12">
        <f t="shared" si="1"/>
        <v>2.1999999999999997</v>
      </c>
      <c r="I13" s="12">
        <v>2.4</v>
      </c>
      <c r="J13" s="12">
        <f t="shared" ref="J13:J14" si="2">H13-I13</f>
        <v>-0.20000000000000018</v>
      </c>
    </row>
    <row r="14" spans="1:10" x14ac:dyDescent="0.25">
      <c r="B14" s="6"/>
      <c r="C14" s="7" t="s">
        <v>11</v>
      </c>
      <c r="D14" s="12">
        <v>4.2</v>
      </c>
      <c r="E14" s="12">
        <v>0</v>
      </c>
      <c r="F14" s="12">
        <f t="shared" si="0"/>
        <v>4.2</v>
      </c>
      <c r="G14" s="12">
        <v>0.7</v>
      </c>
      <c r="H14" s="12">
        <f t="shared" si="1"/>
        <v>3.5</v>
      </c>
      <c r="I14" s="12">
        <v>3.6</v>
      </c>
      <c r="J14" s="12">
        <f t="shared" si="2"/>
        <v>-0.10000000000000009</v>
      </c>
    </row>
    <row r="15" spans="1:10" x14ac:dyDescent="0.25">
      <c r="B15" s="6"/>
      <c r="C15" s="7" t="s">
        <v>12</v>
      </c>
      <c r="D15" s="12"/>
      <c r="E15" s="12"/>
      <c r="F15" s="12"/>
      <c r="G15" s="12"/>
      <c r="H15" s="12"/>
      <c r="I15" s="12"/>
      <c r="J15" s="12"/>
    </row>
    <row r="16" spans="1:10" x14ac:dyDescent="0.25">
      <c r="B16" s="8"/>
      <c r="C16" s="9" t="s">
        <v>12</v>
      </c>
      <c r="D16" s="12"/>
      <c r="E16" s="12"/>
      <c r="F16" s="12"/>
      <c r="G16" s="12"/>
      <c r="H16" s="12"/>
      <c r="I16" s="12"/>
      <c r="J16" s="12"/>
    </row>
    <row r="17" spans="2:10" x14ac:dyDescent="0.25">
      <c r="B17" s="8" t="s">
        <v>13</v>
      </c>
      <c r="C17" s="9"/>
      <c r="D17" s="12">
        <v>0.5</v>
      </c>
      <c r="E17" s="12">
        <v>0</v>
      </c>
      <c r="F17" s="12">
        <f t="shared" si="0"/>
        <v>0.5</v>
      </c>
      <c r="G17" s="12">
        <v>0</v>
      </c>
      <c r="H17" s="12">
        <f t="shared" si="1"/>
        <v>0.5</v>
      </c>
      <c r="I17" s="12">
        <v>0.5</v>
      </c>
      <c r="J17" s="12">
        <f t="shared" ref="J17:J21" si="3">H17-I17</f>
        <v>0</v>
      </c>
    </row>
    <row r="18" spans="2:10" x14ac:dyDescent="0.25">
      <c r="B18" s="8" t="s">
        <v>14</v>
      </c>
      <c r="C18" s="9"/>
      <c r="D18" s="12">
        <v>1.5</v>
      </c>
      <c r="E18" s="12">
        <v>0</v>
      </c>
      <c r="F18" s="12">
        <f t="shared" si="0"/>
        <v>1.5</v>
      </c>
      <c r="G18" s="12">
        <v>0.4</v>
      </c>
      <c r="H18" s="12">
        <f t="shared" si="1"/>
        <v>1.1000000000000001</v>
      </c>
      <c r="I18" s="12">
        <v>1.2</v>
      </c>
      <c r="J18" s="12">
        <f t="shared" si="3"/>
        <v>-9.9999999999999867E-2</v>
      </c>
    </row>
    <row r="19" spans="2:10" x14ac:dyDescent="0.25">
      <c r="B19" s="8" t="s">
        <v>22</v>
      </c>
      <c r="C19" s="9"/>
      <c r="D19" s="12">
        <f>SUM(D9:D18)</f>
        <v>13.5</v>
      </c>
      <c r="E19" s="12">
        <f>SUM(E9:E18)</f>
        <v>0.19999999999999998</v>
      </c>
      <c r="F19" s="12">
        <f t="shared" si="0"/>
        <v>13.7</v>
      </c>
      <c r="G19" s="12">
        <f>SUM(G9:G18)</f>
        <v>5.410000000000001</v>
      </c>
      <c r="H19" s="12">
        <f t="shared" si="1"/>
        <v>8.2899999999999991</v>
      </c>
      <c r="I19" s="12">
        <f>SUM(I9:I18)</f>
        <v>8.6</v>
      </c>
      <c r="J19" s="12">
        <f t="shared" si="3"/>
        <v>-0.3100000000000005</v>
      </c>
    </row>
    <row r="20" spans="2:10" ht="15.75" thickBot="1" x14ac:dyDescent="0.3">
      <c r="B20" s="8" t="s">
        <v>15</v>
      </c>
      <c r="C20" s="9"/>
      <c r="D20" s="12">
        <v>3</v>
      </c>
      <c r="E20" s="12">
        <v>-0.2</v>
      </c>
      <c r="F20" s="12">
        <f t="shared" si="0"/>
        <v>2.8</v>
      </c>
      <c r="G20" s="12">
        <v>0</v>
      </c>
      <c r="H20" s="12">
        <f t="shared" si="1"/>
        <v>2.8</v>
      </c>
      <c r="I20" s="12">
        <v>2.2000000000000002</v>
      </c>
      <c r="J20" s="14">
        <f t="shared" si="3"/>
        <v>0.59999999999999964</v>
      </c>
    </row>
    <row r="21" spans="2:10" ht="15.75" thickBot="1" x14ac:dyDescent="0.3">
      <c r="B21" s="8" t="s">
        <v>16</v>
      </c>
      <c r="C21" s="9"/>
      <c r="D21" s="12">
        <f>D20+D19</f>
        <v>16.5</v>
      </c>
      <c r="E21" s="12">
        <f>E20+E19</f>
        <v>0</v>
      </c>
      <c r="F21" s="12">
        <f t="shared" si="0"/>
        <v>16.5</v>
      </c>
      <c r="G21" s="12">
        <f>G20+G19</f>
        <v>5.410000000000001</v>
      </c>
      <c r="H21" s="12">
        <f t="shared" si="1"/>
        <v>11.09</v>
      </c>
      <c r="I21" s="13">
        <f>I20+I19</f>
        <v>10.8</v>
      </c>
      <c r="J21" s="15">
        <f t="shared" si="3"/>
        <v>0.28999999999999915</v>
      </c>
    </row>
    <row r="24" spans="2:10" ht="361.5" customHeight="1" x14ac:dyDescent="0.25">
      <c r="B24" s="16" t="s">
        <v>23</v>
      </c>
      <c r="C24" s="16"/>
      <c r="D24" s="16"/>
      <c r="E24" s="16"/>
      <c r="F24" s="16"/>
      <c r="G24" s="16"/>
      <c r="H24" s="16"/>
      <c r="I24" s="16"/>
      <c r="J24" s="16"/>
    </row>
    <row r="25" spans="2:10" x14ac:dyDescent="0.25">
      <c r="B25" s="1"/>
      <c r="D25"/>
    </row>
    <row r="26" spans="2:10" x14ac:dyDescent="0.25">
      <c r="B26" s="1"/>
      <c r="D26"/>
    </row>
    <row r="27" spans="2:10" x14ac:dyDescent="0.25">
      <c r="B27" s="1"/>
      <c r="D27"/>
    </row>
    <row r="28" spans="2:10" x14ac:dyDescent="0.25">
      <c r="B28" s="1"/>
      <c r="D28"/>
    </row>
    <row r="29" spans="2:10" x14ac:dyDescent="0.25">
      <c r="B29" s="1"/>
      <c r="D29"/>
    </row>
    <row r="30" spans="2:10" x14ac:dyDescent="0.25">
      <c r="B30" s="2"/>
      <c r="D30"/>
    </row>
    <row r="31" spans="2:10" x14ac:dyDescent="0.25">
      <c r="D31"/>
    </row>
    <row r="32" spans="2:10" x14ac:dyDescent="0.25">
      <c r="D32"/>
    </row>
    <row r="37" spans="2:2" x14ac:dyDescent="0.25">
      <c r="B37" s="1"/>
    </row>
    <row r="38" spans="2:2" x14ac:dyDescent="0.25">
      <c r="B38" s="1"/>
    </row>
    <row r="39" spans="2:2" x14ac:dyDescent="0.25">
      <c r="B39" s="1"/>
    </row>
  </sheetData>
  <mergeCells count="2">
    <mergeCell ref="B4:J4"/>
    <mergeCell ref="B24:J24"/>
  </mergeCells>
  <pageMargins left="0.7" right="0.7" top="0.75" bottom="0.75" header="0.3" footer="0.3"/>
  <ignoredErrors>
    <ignoredError sqref="F19 H19 H21 F21" formula="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Werkbladen</vt:lpstr>
      </vt:variant>
      <vt:variant>
        <vt:i4>1</vt:i4>
      </vt:variant>
    </vt:vector>
  </HeadingPairs>
  <TitlesOfParts>
    <vt:vector size="1" baseType="lpstr">
      <vt:lpstr>Programmabudget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Niels van Loon</dc:creator>
  <cp:lastModifiedBy>Niels van Loon</cp:lastModifiedBy>
  <dcterms:created xsi:type="dcterms:W3CDTF">2023-12-15T09:19:59Z</dcterms:created>
  <dcterms:modified xsi:type="dcterms:W3CDTF">2024-05-10T11:53:55Z</dcterms:modified>
</cp:coreProperties>
</file>